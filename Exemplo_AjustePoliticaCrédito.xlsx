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ril\Downloads\Home_Credit_Default_Risk\"/>
    </mc:Choice>
  </mc:AlternateContent>
  <xr:revisionPtr revIDLastSave="0" documentId="13_ncr:1_{2BA7A7C4-DDA2-4A7D-B99E-97B59E538466}" xr6:coauthVersionLast="47" xr6:coauthVersionMax="47" xr10:uidLastSave="{00000000-0000-0000-0000-000000000000}"/>
  <bookViews>
    <workbookView xWindow="-108" yWindow="-108" windowWidth="23256" windowHeight="12456" activeTab="1" xr2:uid="{00377304-4FA9-4839-BDD6-1AD893A140CD}"/>
  </bookViews>
  <sheets>
    <sheet name="Métricas por Fonte de Info" sheetId="1" r:id="rId1"/>
    <sheet name="Cortando 10% do Público" sheetId="2" r:id="rId2"/>
    <sheet name="Cortando 6,3% do Público" sheetId="5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8" i="5" l="1"/>
  <c r="J27" i="5"/>
  <c r="I27" i="5"/>
  <c r="G28" i="5"/>
  <c r="F28" i="5"/>
  <c r="E28" i="5"/>
  <c r="E27" i="5"/>
  <c r="D28" i="5"/>
  <c r="G22" i="2"/>
  <c r="J22" i="2" s="1"/>
  <c r="G21" i="2"/>
  <c r="E22" i="2"/>
  <c r="D22" i="2"/>
  <c r="E21" i="2"/>
  <c r="D17" i="2"/>
  <c r="E17" i="2"/>
  <c r="F17" i="2"/>
  <c r="D20" i="2"/>
  <c r="E20" i="2"/>
  <c r="F20" i="2"/>
  <c r="G20" i="2"/>
  <c r="H20" i="2"/>
  <c r="G27" i="5"/>
  <c r="G26" i="5"/>
  <c r="E26" i="5"/>
  <c r="E23" i="5"/>
  <c r="D23" i="5"/>
  <c r="D27" i="5"/>
  <c r="D26" i="5"/>
  <c r="I31" i="5"/>
  <c r="H31" i="5"/>
  <c r="I25" i="2"/>
  <c r="H25" i="2"/>
  <c r="D21" i="2"/>
  <c r="J20" i="2"/>
  <c r="L15" i="1"/>
  <c r="B8" i="1"/>
  <c r="H21" i="2" l="1"/>
  <c r="J21" i="2"/>
  <c r="I28" i="2"/>
  <c r="I27" i="2"/>
  <c r="H27" i="5"/>
  <c r="H28" i="5"/>
  <c r="H26" i="5"/>
  <c r="I34" i="5"/>
  <c r="I33" i="5"/>
  <c r="H34" i="5"/>
  <c r="H33" i="5"/>
  <c r="G34" i="5"/>
  <c r="G33" i="5"/>
  <c r="I26" i="5"/>
  <c r="F26" i="5"/>
  <c r="F27" i="5"/>
  <c r="F23" i="5"/>
  <c r="J26" i="5"/>
  <c r="H28" i="2"/>
  <c r="H27" i="2"/>
  <c r="G28" i="2"/>
  <c r="G27" i="2"/>
  <c r="I20" i="2" s="1"/>
  <c r="K20" i="2" s="1"/>
  <c r="F22" i="2"/>
  <c r="H22" i="2"/>
  <c r="F21" i="2"/>
  <c r="I22" i="2" l="1"/>
  <c r="K22" i="2" s="1"/>
  <c r="L22" i="2" s="1"/>
  <c r="K27" i="5"/>
  <c r="K26" i="5"/>
  <c r="I28" i="5"/>
  <c r="K28" i="5" s="1"/>
  <c r="I21" i="2"/>
  <c r="K21" i="2" s="1"/>
  <c r="L21" i="2" s="1"/>
  <c r="L27" i="5" l="1"/>
  <c r="L28" i="5"/>
</calcChain>
</file>

<file path=xl/sharedStrings.xml><?xml version="1.0" encoding="utf-8"?>
<sst xmlns="http://schemas.openxmlformats.org/spreadsheetml/2006/main" count="201" uniqueCount="81">
  <si>
    <t>Modelo</t>
  </si>
  <si>
    <t>CatBoost</t>
  </si>
  <si>
    <t>0.9201</t>
  </si>
  <si>
    <t>0.9197</t>
  </si>
  <si>
    <t>0.6593</t>
  </si>
  <si>
    <t>0.5861</t>
  </si>
  <si>
    <t>0.0207</t>
  </si>
  <si>
    <t>0.0192</t>
  </si>
  <si>
    <t>0.7673</t>
  </si>
  <si>
    <t>0.7616</t>
  </si>
  <si>
    <t>0.5347</t>
  </si>
  <si>
    <t>0.5233</t>
  </si>
  <si>
    <t>0.3989</t>
  </si>
  <si>
    <t>0.3898</t>
  </si>
  <si>
    <t xml:space="preserve">treino </t>
  </si>
  <si>
    <t>Teste</t>
  </si>
  <si>
    <t>Bureau</t>
  </si>
  <si>
    <t>split</t>
  </si>
  <si>
    <t>accuracy</t>
  </si>
  <si>
    <t>precision</t>
  </si>
  <si>
    <t>recall</t>
  </si>
  <si>
    <t>auc</t>
  </si>
  <si>
    <t>gini</t>
  </si>
  <si>
    <t>ks</t>
  </si>
  <si>
    <t>Treino</t>
  </si>
  <si>
    <t>0.9202</t>
  </si>
  <si>
    <t>0.6067</t>
  </si>
  <si>
    <t>0.0336</t>
  </si>
  <si>
    <t>0.7910</t>
  </si>
  <si>
    <t>0.5820</t>
  </si>
  <si>
    <t>0.4389</t>
  </si>
  <si>
    <t>0.9196</t>
  </si>
  <si>
    <t>0.5408</t>
  </si>
  <si>
    <t>0.0311</t>
  </si>
  <si>
    <t>0.7724</t>
  </si>
  <si>
    <t>0.5449</t>
  </si>
  <si>
    <t>0.4121</t>
  </si>
  <si>
    <t>LGBM Optuna</t>
  </si>
  <si>
    <t>0.6066</t>
  </si>
  <si>
    <t>0.0318</t>
  </si>
  <si>
    <t>0.7903</t>
  </si>
  <si>
    <t>0.5806</t>
  </si>
  <si>
    <t>0.4397</t>
  </si>
  <si>
    <t>0.9204</t>
  </si>
  <si>
    <t>0.6230</t>
  </si>
  <si>
    <t>0.0357</t>
  </si>
  <si>
    <t>0.7771</t>
  </si>
  <si>
    <t>0.5542</t>
  </si>
  <si>
    <t>0.4142</t>
  </si>
  <si>
    <t>Fonte de Informação</t>
  </si>
  <si>
    <t>decil</t>
  </si>
  <si>
    <t>qtd_clientes</t>
  </si>
  <si>
    <t>qtd_maus</t>
  </si>
  <si>
    <t>Credit</t>
  </si>
  <si>
    <t>qtd Consultas</t>
  </si>
  <si>
    <t>qtd aprovados</t>
  </si>
  <si>
    <t>qtd maus</t>
  </si>
  <si>
    <t>%maus</t>
  </si>
  <si>
    <t>% aprovados</t>
  </si>
  <si>
    <t>Split de teste</t>
  </si>
  <si>
    <t>Qtd Maus</t>
  </si>
  <si>
    <t>% Maus</t>
  </si>
  <si>
    <t>Vigente</t>
  </si>
  <si>
    <t>Valor Receita (R$)</t>
  </si>
  <si>
    <t>Valor Perda (R$)</t>
  </si>
  <si>
    <t>Balanço (R$)</t>
  </si>
  <si>
    <t>% Ganho</t>
  </si>
  <si>
    <t>Cenário Vigente</t>
  </si>
  <si>
    <t>% Volume</t>
  </si>
  <si>
    <t>Taxa de Juros</t>
  </si>
  <si>
    <t>Receita</t>
  </si>
  <si>
    <t>Cash Loans</t>
  </si>
  <si>
    <t>Revolving Loans</t>
  </si>
  <si>
    <t>Valor médio</t>
  </si>
  <si>
    <t>PREMISSAS DA BASE</t>
  </si>
  <si>
    <t>03 - +Bureau+Installments+CreditCard</t>
  </si>
  <si>
    <t>LGBM - Bureau</t>
  </si>
  <si>
    <t>LGBM - Bureau + Installments Payments+ Credit Cad</t>
  </si>
  <si>
    <t>01 - +Bureau</t>
  </si>
  <si>
    <t>max_score</t>
  </si>
  <si>
    <t>Ticket médio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</si>
</sst>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b/>
      <sz val="8"/>
      <name val="Segoe UI"/>
      <family val="2"/>
    </font>
    <font>
      <sz val="8"/>
      <name val="Segoe UI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0" fillId="3" borderId="0" xfId="0" applyFill="1"/>
    <xf numFmtId="164" fontId="0" fillId="0" borderId="0" xfId="1" applyNumberFormat="1" applyFont="1" applyBorder="1"/>
    <xf numFmtId="0" fontId="0" fillId="0" borderId="7" xfId="0" applyBorder="1"/>
    <xf numFmtId="0" fontId="0" fillId="0" borderId="8" xfId="0" applyBorder="1"/>
    <xf numFmtId="164" fontId="0" fillId="0" borderId="0" xfId="1" applyNumberFormat="1" applyFont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64" fontId="0" fillId="0" borderId="9" xfId="1" applyNumberFormat="1" applyFont="1" applyBorder="1"/>
    <xf numFmtId="9" fontId="0" fillId="0" borderId="0" xfId="1" applyFont="1" applyBorder="1"/>
    <xf numFmtId="0" fontId="0" fillId="2" borderId="0" xfId="0" applyFill="1"/>
    <xf numFmtId="0" fontId="0" fillId="2" borderId="10" xfId="0" applyFill="1" applyBorder="1"/>
    <xf numFmtId="165" fontId="0" fillId="0" borderId="0" xfId="2" applyNumberFormat="1" applyFont="1" applyBorder="1"/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5" fontId="0" fillId="0" borderId="6" xfId="2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4" fontId="0" fillId="0" borderId="8" xfId="3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4" fontId="0" fillId="0" borderId="0" xfId="3" applyFont="1"/>
    <xf numFmtId="0" fontId="0" fillId="0" borderId="12" xfId="0" applyBorder="1" applyAlignment="1">
      <alignment vertical="center"/>
    </xf>
    <xf numFmtId="0" fontId="0" fillId="0" borderId="12" xfId="0" applyBorder="1"/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</cellXfs>
  <cellStyles count="4">
    <cellStyle name="Moeda" xfId="3" builtinId="4"/>
    <cellStyle name="Normal" xfId="0" builtinId="0"/>
    <cellStyle name="Porcentagem" xfId="1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487679</xdr:colOff>
      <xdr:row>18</xdr:row>
      <xdr:rowOff>59512</xdr:rowOff>
    </xdr:from>
    <xdr:to>
      <xdr:col>7</xdr:col>
      <xdr:colOff>243840</xdr:colOff>
      <xdr:row>38</xdr:row>
      <xdr:rowOff>106680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4CE3F2D-2A3E-1CD6-08CF-CE447CAC2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79" y="3351352"/>
          <a:ext cx="4960621" cy="3704768"/>
        </a:xfrm>
        <a:prstGeom prst="rect">
          <a:avLst/>
        </a:prstGeom>
      </xdr:spPr>
    </xdr:pic>
    <xdr:clientData/>
  </xdr:twoCellAnchor>
  <xdr:twoCellAnchor editAs="oneCell">
    <xdr:from>
      <xdr:col>10</xdr:col>
      <xdr:colOff>198120</xdr:colOff>
      <xdr:row>18</xdr:row>
      <xdr:rowOff>23438</xdr:rowOff>
    </xdr:from>
    <xdr:to>
      <xdr:col>18</xdr:col>
      <xdr:colOff>426720</xdr:colOff>
      <xdr:row>38</xdr:row>
      <xdr:rowOff>178731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F6664F5-4B61-1244-BDD2-C303DBE16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31380" y="3528638"/>
          <a:ext cx="5105400" cy="38128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7605C-11EB-44E7-9847-E72B5C0F9694}">
  <dimension ref="B6:T18"/>
  <sheetViews>
    <sheetView showGridLines="0" topLeftCell="A12" workbookViewId="0">
      <selection activeCell="I20" sqref="I20"/>
    </sheetView>
  </sheetViews>
  <sheetFormatPr defaultRowHeight="14.4" x14ac:dyDescent="0.3"/>
  <cols>
    <col min="2" max="2" width="18.6640625" customWidth="1"/>
    <col min="3" max="3" width="12.77734375" customWidth="1"/>
  </cols>
  <sheetData>
    <row r="6" spans="2:20" x14ac:dyDescent="0.3">
      <c r="B6" s="1"/>
      <c r="C6" s="1"/>
      <c r="D6" s="1"/>
      <c r="E6" s="1"/>
      <c r="F6" s="1"/>
      <c r="G6" s="1"/>
      <c r="H6" s="1"/>
      <c r="I6" s="1"/>
      <c r="J6" s="1"/>
    </row>
    <row r="7" spans="2:20" x14ac:dyDescent="0.3">
      <c r="B7" s="2" t="s">
        <v>49</v>
      </c>
      <c r="C7" s="2" t="s">
        <v>0</v>
      </c>
      <c r="D7" s="2" t="s">
        <v>17</v>
      </c>
      <c r="E7" s="2" t="s">
        <v>18</v>
      </c>
      <c r="F7" s="2" t="s">
        <v>19</v>
      </c>
      <c r="G7" s="2" t="s">
        <v>20</v>
      </c>
      <c r="H7" s="2" t="s">
        <v>21</v>
      </c>
      <c r="I7" s="2" t="s">
        <v>22</v>
      </c>
      <c r="J7" s="2" t="s">
        <v>23</v>
      </c>
    </row>
    <row r="8" spans="2:20" x14ac:dyDescent="0.3">
      <c r="B8" s="3" t="str">
        <f>"+ Installments payments"</f>
        <v>+ Installments payments</v>
      </c>
      <c r="C8" s="3" t="s">
        <v>37</v>
      </c>
      <c r="D8" s="3" t="s">
        <v>24</v>
      </c>
      <c r="E8" s="3" t="s">
        <v>25</v>
      </c>
      <c r="F8" s="3" t="s">
        <v>26</v>
      </c>
      <c r="G8" s="3" t="s">
        <v>27</v>
      </c>
      <c r="H8" s="4" t="s">
        <v>28</v>
      </c>
      <c r="I8" s="3" t="s">
        <v>29</v>
      </c>
      <c r="J8" s="3" t="s">
        <v>30</v>
      </c>
    </row>
    <row r="9" spans="2:20" x14ac:dyDescent="0.3">
      <c r="B9" s="1"/>
      <c r="C9" s="1"/>
      <c r="D9" s="3" t="s">
        <v>15</v>
      </c>
      <c r="E9" s="3" t="s">
        <v>31</v>
      </c>
      <c r="F9" s="3" t="s">
        <v>32</v>
      </c>
      <c r="G9" s="3" t="s">
        <v>33</v>
      </c>
      <c r="H9" s="4" t="s">
        <v>34</v>
      </c>
      <c r="I9" s="3" t="s">
        <v>35</v>
      </c>
      <c r="J9" s="3" t="s">
        <v>36</v>
      </c>
    </row>
    <row r="10" spans="2:20" x14ac:dyDescent="0.3">
      <c r="B10" s="1"/>
      <c r="C10" s="1"/>
      <c r="D10" s="1"/>
      <c r="E10" s="1"/>
      <c r="F10" s="1"/>
      <c r="G10" s="1"/>
      <c r="H10" s="1"/>
      <c r="I10" s="1"/>
      <c r="J10" s="1"/>
    </row>
    <row r="14" spans="2:20" ht="22.8" x14ac:dyDescent="0.3">
      <c r="B14" s="2" t="s">
        <v>49</v>
      </c>
      <c r="C14" s="2" t="s">
        <v>0</v>
      </c>
      <c r="D14" s="2" t="s">
        <v>17</v>
      </c>
      <c r="E14" s="2" t="s">
        <v>18</v>
      </c>
      <c r="F14" s="2" t="s">
        <v>19</v>
      </c>
      <c r="G14" s="2" t="s">
        <v>20</v>
      </c>
      <c r="H14" s="2" t="s">
        <v>21</v>
      </c>
      <c r="I14" s="2" t="s">
        <v>22</v>
      </c>
      <c r="J14" s="2" t="s">
        <v>23</v>
      </c>
      <c r="L14" s="2" t="s">
        <v>49</v>
      </c>
      <c r="M14" s="2" t="s">
        <v>0</v>
      </c>
      <c r="N14" s="2" t="s">
        <v>17</v>
      </c>
      <c r="O14" s="2" t="s">
        <v>18</v>
      </c>
      <c r="P14" s="2" t="s">
        <v>19</v>
      </c>
      <c r="Q14" s="2" t="s">
        <v>20</v>
      </c>
      <c r="R14" s="2" t="s">
        <v>21</v>
      </c>
      <c r="S14" s="2" t="s">
        <v>22</v>
      </c>
      <c r="T14" s="2" t="s">
        <v>23</v>
      </c>
    </row>
    <row r="15" spans="2:20" ht="22.8" x14ac:dyDescent="0.3">
      <c r="B15" s="3" t="s">
        <v>16</v>
      </c>
      <c r="C15" s="3" t="s">
        <v>1</v>
      </c>
      <c r="D15" s="3" t="s">
        <v>14</v>
      </c>
      <c r="E15" s="3" t="s">
        <v>2</v>
      </c>
      <c r="F15" s="3" t="s">
        <v>4</v>
      </c>
      <c r="G15" s="3" t="s">
        <v>6</v>
      </c>
      <c r="H15" s="4" t="s">
        <v>8</v>
      </c>
      <c r="I15" s="3" t="s">
        <v>10</v>
      </c>
      <c r="J15" s="3" t="s">
        <v>12</v>
      </c>
      <c r="L15" s="3" t="str">
        <f>"+ Credit Card"</f>
        <v>+ Credit Card</v>
      </c>
      <c r="M15" s="3" t="s">
        <v>37</v>
      </c>
      <c r="N15" s="3" t="s">
        <v>24</v>
      </c>
      <c r="O15" s="3" t="s">
        <v>25</v>
      </c>
      <c r="P15" s="3" t="s">
        <v>38</v>
      </c>
      <c r="Q15" s="3" t="s">
        <v>39</v>
      </c>
      <c r="R15" s="4" t="s">
        <v>40</v>
      </c>
      <c r="S15" s="3" t="s">
        <v>41</v>
      </c>
      <c r="T15" s="3" t="s">
        <v>42</v>
      </c>
    </row>
    <row r="16" spans="2:20" x14ac:dyDescent="0.3">
      <c r="B16" s="1"/>
      <c r="C16" s="1"/>
      <c r="D16" s="3" t="s">
        <v>15</v>
      </c>
      <c r="E16" s="3" t="s">
        <v>3</v>
      </c>
      <c r="F16" s="3" t="s">
        <v>5</v>
      </c>
      <c r="G16" s="3" t="s">
        <v>7</v>
      </c>
      <c r="H16" s="4" t="s">
        <v>9</v>
      </c>
      <c r="I16" s="3" t="s">
        <v>11</v>
      </c>
      <c r="J16" s="3" t="s">
        <v>13</v>
      </c>
      <c r="L16" s="1"/>
      <c r="M16" s="1"/>
      <c r="N16" s="3" t="s">
        <v>15</v>
      </c>
      <c r="O16" s="3" t="s">
        <v>43</v>
      </c>
      <c r="P16" s="3" t="s">
        <v>44</v>
      </c>
      <c r="Q16" s="3" t="s">
        <v>45</v>
      </c>
      <c r="R16" s="4" t="s">
        <v>46</v>
      </c>
      <c r="S16" s="3" t="s">
        <v>47</v>
      </c>
      <c r="T16" s="3" t="s">
        <v>48</v>
      </c>
    </row>
    <row r="18" spans="2:12" x14ac:dyDescent="0.3">
      <c r="B18" t="s">
        <v>78</v>
      </c>
      <c r="L18" t="s">
        <v>75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617BC-289C-4A84-8C8F-2D4630368F06}">
  <dimension ref="C2:N45"/>
  <sheetViews>
    <sheetView showGridLines="0" tabSelected="1" topLeftCell="C1" zoomScale="91" zoomScaleNormal="91" workbookViewId="0">
      <selection activeCell="J26" sqref="J26"/>
    </sheetView>
  </sheetViews>
  <sheetFormatPr defaultRowHeight="14.4" x14ac:dyDescent="0.3"/>
  <cols>
    <col min="2" max="2" width="20.77734375" customWidth="1"/>
    <col min="3" max="3" width="12" customWidth="1"/>
    <col min="4" max="4" width="17.6640625" customWidth="1"/>
    <col min="5" max="5" width="15.21875" customWidth="1"/>
    <col min="6" max="6" width="17.88671875" customWidth="1"/>
    <col min="7" max="7" width="20.33203125" customWidth="1"/>
    <col min="8" max="8" width="15" customWidth="1"/>
    <col min="9" max="9" width="31.21875" customWidth="1"/>
    <col min="10" max="10" width="20.109375" customWidth="1"/>
    <col min="11" max="11" width="22.88671875" customWidth="1"/>
    <col min="12" max="12" width="17.6640625" bestFit="1" customWidth="1"/>
    <col min="13" max="13" width="13.6640625" bestFit="1" customWidth="1"/>
    <col min="14" max="14" width="13.5546875" customWidth="1"/>
    <col min="15" max="15" width="11.5546875" bestFit="1" customWidth="1"/>
    <col min="16" max="16" width="14.109375" bestFit="1" customWidth="1"/>
  </cols>
  <sheetData>
    <row r="2" spans="4:14" x14ac:dyDescent="0.3">
      <c r="D2" t="s">
        <v>76</v>
      </c>
      <c r="J2" t="s">
        <v>77</v>
      </c>
    </row>
    <row r="4" spans="4:14" x14ac:dyDescent="0.3">
      <c r="D4" s="5" t="s">
        <v>50</v>
      </c>
      <c r="E4" s="5" t="s">
        <v>51</v>
      </c>
      <c r="F4" s="5" t="s">
        <v>52</v>
      </c>
      <c r="G4" s="5" t="s">
        <v>79</v>
      </c>
      <c r="H4" s="5" t="s">
        <v>17</v>
      </c>
      <c r="J4" s="5" t="s">
        <v>50</v>
      </c>
      <c r="K4" s="5" t="s">
        <v>51</v>
      </c>
      <c r="L4" s="5" t="s">
        <v>52</v>
      </c>
      <c r="M4" s="5" t="s">
        <v>79</v>
      </c>
      <c r="N4" s="5" t="s">
        <v>17</v>
      </c>
    </row>
    <row r="5" spans="4:14" x14ac:dyDescent="0.3">
      <c r="D5" s="7">
        <v>0</v>
      </c>
      <c r="E5" s="7">
        <v>9226</v>
      </c>
      <c r="F5" s="7">
        <v>2530</v>
      </c>
      <c r="G5" s="7">
        <v>820</v>
      </c>
      <c r="H5" s="7" t="s">
        <v>15</v>
      </c>
      <c r="I5" s="8"/>
      <c r="J5" s="7">
        <v>0</v>
      </c>
      <c r="K5" s="7">
        <v>9226</v>
      </c>
      <c r="L5" s="7">
        <v>2689</v>
      </c>
      <c r="M5" s="7">
        <v>815</v>
      </c>
      <c r="N5" s="7" t="s">
        <v>15</v>
      </c>
    </row>
    <row r="6" spans="4:14" x14ac:dyDescent="0.3">
      <c r="D6" s="6">
        <v>1</v>
      </c>
      <c r="E6" s="6">
        <v>9225</v>
      </c>
      <c r="F6" s="6">
        <v>1378</v>
      </c>
      <c r="G6" s="6">
        <v>881</v>
      </c>
      <c r="H6" s="6" t="s">
        <v>15</v>
      </c>
      <c r="J6" s="6">
        <v>1</v>
      </c>
      <c r="K6" s="6">
        <v>9225</v>
      </c>
      <c r="L6" s="6">
        <v>1455</v>
      </c>
      <c r="M6" s="6">
        <v>882</v>
      </c>
      <c r="N6" s="6" t="s">
        <v>15</v>
      </c>
    </row>
    <row r="7" spans="4:14" x14ac:dyDescent="0.3">
      <c r="D7" s="6">
        <v>2</v>
      </c>
      <c r="E7" s="6">
        <v>9225</v>
      </c>
      <c r="F7" s="6">
        <v>993</v>
      </c>
      <c r="G7" s="6">
        <v>913</v>
      </c>
      <c r="H7" s="6" t="s">
        <v>15</v>
      </c>
      <c r="J7" s="6">
        <v>2</v>
      </c>
      <c r="K7" s="6">
        <v>9225</v>
      </c>
      <c r="L7" s="6">
        <v>906</v>
      </c>
      <c r="M7" s="6">
        <v>916</v>
      </c>
      <c r="N7" s="6" t="s">
        <v>15</v>
      </c>
    </row>
    <row r="8" spans="4:14" x14ac:dyDescent="0.3">
      <c r="D8" s="6">
        <v>3</v>
      </c>
      <c r="E8" s="6">
        <v>9226</v>
      </c>
      <c r="F8" s="6">
        <v>713</v>
      </c>
      <c r="G8" s="6">
        <v>933</v>
      </c>
      <c r="H8" s="6" t="s">
        <v>15</v>
      </c>
      <c r="J8" s="6">
        <v>3</v>
      </c>
      <c r="K8" s="6">
        <v>9226</v>
      </c>
      <c r="L8" s="6">
        <v>693</v>
      </c>
      <c r="M8" s="6">
        <v>936</v>
      </c>
      <c r="N8" s="6" t="s">
        <v>15</v>
      </c>
    </row>
    <row r="9" spans="4:14" x14ac:dyDescent="0.3">
      <c r="D9" s="6">
        <v>4</v>
      </c>
      <c r="E9" s="6">
        <v>9225</v>
      </c>
      <c r="F9" s="6">
        <v>538</v>
      </c>
      <c r="G9" s="6">
        <v>948</v>
      </c>
      <c r="H9" s="6" t="s">
        <v>15</v>
      </c>
      <c r="J9" s="6">
        <v>4</v>
      </c>
      <c r="K9" s="6">
        <v>9225</v>
      </c>
      <c r="L9" s="6">
        <v>525</v>
      </c>
      <c r="M9" s="6">
        <v>950</v>
      </c>
      <c r="N9" s="6" t="s">
        <v>15</v>
      </c>
    </row>
    <row r="10" spans="4:14" x14ac:dyDescent="0.3">
      <c r="D10" s="6">
        <v>5</v>
      </c>
      <c r="E10" s="6">
        <v>9225</v>
      </c>
      <c r="F10" s="6">
        <v>449</v>
      </c>
      <c r="G10" s="6">
        <v>959</v>
      </c>
      <c r="H10" s="6" t="s">
        <v>15</v>
      </c>
      <c r="J10" s="6">
        <v>5</v>
      </c>
      <c r="K10" s="6">
        <v>9225</v>
      </c>
      <c r="L10" s="6">
        <v>401</v>
      </c>
      <c r="M10" s="6">
        <v>961</v>
      </c>
      <c r="N10" s="6" t="s">
        <v>15</v>
      </c>
    </row>
    <row r="11" spans="4:14" x14ac:dyDescent="0.3">
      <c r="D11" s="6">
        <v>6</v>
      </c>
      <c r="E11" s="6">
        <v>9226</v>
      </c>
      <c r="F11" s="6">
        <v>313</v>
      </c>
      <c r="G11" s="6">
        <v>968</v>
      </c>
      <c r="H11" s="6" t="s">
        <v>15</v>
      </c>
      <c r="J11" s="6">
        <v>6</v>
      </c>
      <c r="K11" s="6">
        <v>9226</v>
      </c>
      <c r="L11" s="6">
        <v>294</v>
      </c>
      <c r="M11" s="6">
        <v>970</v>
      </c>
      <c r="N11" s="6" t="s">
        <v>15</v>
      </c>
    </row>
    <row r="12" spans="4:14" x14ac:dyDescent="0.3">
      <c r="D12" s="6">
        <v>7</v>
      </c>
      <c r="E12" s="6">
        <v>9225</v>
      </c>
      <c r="F12" s="6">
        <v>230</v>
      </c>
      <c r="G12" s="6">
        <v>976</v>
      </c>
      <c r="H12" s="6" t="s">
        <v>15</v>
      </c>
      <c r="J12" s="6">
        <v>7</v>
      </c>
      <c r="K12" s="6">
        <v>9225</v>
      </c>
      <c r="L12" s="6">
        <v>214</v>
      </c>
      <c r="M12" s="6">
        <v>977</v>
      </c>
      <c r="N12" s="6" t="s">
        <v>15</v>
      </c>
    </row>
    <row r="13" spans="4:14" x14ac:dyDescent="0.3">
      <c r="D13" s="6">
        <v>8</v>
      </c>
      <c r="E13" s="6">
        <v>9225</v>
      </c>
      <c r="F13" s="6">
        <v>178</v>
      </c>
      <c r="G13" s="6">
        <v>983</v>
      </c>
      <c r="H13" s="6" t="s">
        <v>15</v>
      </c>
      <c r="J13" s="6">
        <v>8</v>
      </c>
      <c r="K13" s="6">
        <v>9225</v>
      </c>
      <c r="L13" s="6">
        <v>166</v>
      </c>
      <c r="M13" s="6">
        <v>984</v>
      </c>
      <c r="N13" s="6" t="s">
        <v>15</v>
      </c>
    </row>
    <row r="14" spans="4:14" x14ac:dyDescent="0.3">
      <c r="D14" s="6">
        <v>9</v>
      </c>
      <c r="E14" s="6">
        <v>9226</v>
      </c>
      <c r="F14" s="6">
        <v>126</v>
      </c>
      <c r="G14" s="6">
        <v>999</v>
      </c>
      <c r="H14" s="6" t="s">
        <v>15</v>
      </c>
      <c r="J14" s="6">
        <v>9</v>
      </c>
      <c r="K14" s="6">
        <v>9226</v>
      </c>
      <c r="L14" s="6">
        <v>105</v>
      </c>
      <c r="M14" s="6">
        <v>997</v>
      </c>
      <c r="N14" s="6" t="s">
        <v>15</v>
      </c>
    </row>
    <row r="15" spans="4:14" ht="15" thickBot="1" x14ac:dyDescent="0.35"/>
    <row r="16" spans="4:14" ht="15" thickBot="1" x14ac:dyDescent="0.35">
      <c r="D16" s="13" t="s">
        <v>59</v>
      </c>
      <c r="E16" s="14" t="s">
        <v>60</v>
      </c>
      <c r="F16" s="15" t="s">
        <v>61</v>
      </c>
    </row>
    <row r="17" spans="3:12" ht="15.6" thickTop="1" thickBot="1" x14ac:dyDescent="0.35">
      <c r="D17" s="10">
        <f>SUM(E5:E14)</f>
        <v>92254</v>
      </c>
      <c r="E17" s="11">
        <f>SUM(F5:F14)</f>
        <v>7448</v>
      </c>
      <c r="F17" s="16">
        <f>E17/D17</f>
        <v>8.0733626726212412E-2</v>
      </c>
    </row>
    <row r="18" spans="3:12" x14ac:dyDescent="0.3">
      <c r="D18" s="12"/>
    </row>
    <row r="19" spans="3:12" ht="15" thickBot="1" x14ac:dyDescent="0.35">
      <c r="D19" s="19" t="s">
        <v>54</v>
      </c>
      <c r="E19" s="19" t="s">
        <v>55</v>
      </c>
      <c r="F19" s="19" t="s">
        <v>58</v>
      </c>
      <c r="G19" s="19" t="s">
        <v>56</v>
      </c>
      <c r="H19" s="19" t="s">
        <v>57</v>
      </c>
      <c r="I19" s="19" t="s">
        <v>63</v>
      </c>
      <c r="J19" s="19" t="s">
        <v>64</v>
      </c>
      <c r="K19" s="19" t="s">
        <v>65</v>
      </c>
      <c r="L19" s="19" t="s">
        <v>66</v>
      </c>
    </row>
    <row r="20" spans="3:12" ht="15" thickTop="1" x14ac:dyDescent="0.3">
      <c r="C20" s="18" t="s">
        <v>62</v>
      </c>
      <c r="D20" s="20">
        <f>SUM(E5:E14)</f>
        <v>92254</v>
      </c>
      <c r="E20" s="20">
        <f>SUM(E5:E14)</f>
        <v>92254</v>
      </c>
      <c r="F20" s="17">
        <f>E20/D20</f>
        <v>1</v>
      </c>
      <c r="G20" s="20">
        <f>SUM(F5:F14)</f>
        <v>7448</v>
      </c>
      <c r="H20" s="9">
        <f>G20/E20</f>
        <v>8.0733626726212412E-2</v>
      </c>
      <c r="I20" s="29">
        <f>SUM(G27:G28)</f>
        <v>13511232343.291201</v>
      </c>
      <c r="J20" s="29">
        <f>G20*E29</f>
        <v>4465046208</v>
      </c>
      <c r="K20" s="29">
        <f>I20-J20</f>
        <v>9046186135.2912006</v>
      </c>
    </row>
    <row r="21" spans="3:12" x14ac:dyDescent="0.3">
      <c r="C21" s="18" t="s">
        <v>16</v>
      </c>
      <c r="D21" s="20">
        <f>SUM(E5:E14)</f>
        <v>92254</v>
      </c>
      <c r="E21" s="20">
        <f>SUM(E6:E14)</f>
        <v>83028</v>
      </c>
      <c r="F21" s="17">
        <f>E21/D21</f>
        <v>0.89999349621696623</v>
      </c>
      <c r="G21" s="20">
        <f>SUM(F6:F14)</f>
        <v>4918</v>
      </c>
      <c r="H21" s="9">
        <f>G21/E21</f>
        <v>5.9233029821265118E-2</v>
      </c>
      <c r="I21" s="29">
        <f>SUM(H27:H28)</f>
        <v>12160021234.8384</v>
      </c>
      <c r="J21" s="29">
        <f>G21*E29</f>
        <v>2948321328</v>
      </c>
      <c r="K21" s="29">
        <f>I21-J21</f>
        <v>9211699906.8383999</v>
      </c>
      <c r="L21" s="12">
        <f>(K21-K20)/K20</f>
        <v>1.8296525084918705E-2</v>
      </c>
    </row>
    <row r="22" spans="3:12" x14ac:dyDescent="0.3">
      <c r="C22" s="18" t="s">
        <v>53</v>
      </c>
      <c r="D22" s="20">
        <f>SUM(K5:K14)</f>
        <v>92254</v>
      </c>
      <c r="E22" s="20">
        <f>SUM(K6:K14)</f>
        <v>83028</v>
      </c>
      <c r="F22" s="17">
        <f>E22/D22</f>
        <v>0.89999349621696623</v>
      </c>
      <c r="G22" s="20">
        <f>SUM(L6:L14)</f>
        <v>4759</v>
      </c>
      <c r="H22" s="9">
        <f>G22/E22</f>
        <v>5.7318013200366141E-2</v>
      </c>
      <c r="I22" s="29">
        <f>SUM(I27:I28)</f>
        <v>12160021234.8384</v>
      </c>
      <c r="J22" s="29">
        <f>G22*E29</f>
        <v>2853001464</v>
      </c>
      <c r="K22" s="29">
        <f>I22-J22</f>
        <v>9307019770.8383999</v>
      </c>
      <c r="L22" s="12">
        <f>(K22-K20)/K20</f>
        <v>2.8833547270227921E-2</v>
      </c>
    </row>
    <row r="23" spans="3:12" ht="14.4" customHeight="1" x14ac:dyDescent="0.3"/>
    <row r="24" spans="3:12" ht="15" thickBot="1" x14ac:dyDescent="0.35">
      <c r="D24" s="18" t="s">
        <v>74</v>
      </c>
    </row>
    <row r="25" spans="3:12" x14ac:dyDescent="0.3">
      <c r="D25" s="21"/>
      <c r="E25" s="31"/>
      <c r="F25" s="30"/>
      <c r="G25" s="22" t="s">
        <v>67</v>
      </c>
      <c r="H25" s="22" t="str">
        <f>"+Bureau"</f>
        <v>+Bureau</v>
      </c>
      <c r="I25" s="22" t="str">
        <f>"+Bureau + Installments + Credit Card"</f>
        <v>+Bureau + Installments + Credit Card</v>
      </c>
    </row>
    <row r="26" spans="3:12" x14ac:dyDescent="0.3">
      <c r="D26" s="23"/>
      <c r="E26" s="32" t="s">
        <v>68</v>
      </c>
      <c r="F26" s="32" t="s">
        <v>69</v>
      </c>
      <c r="G26" s="35" t="s">
        <v>70</v>
      </c>
      <c r="H26" s="35" t="s">
        <v>70</v>
      </c>
      <c r="I26" s="35" t="s">
        <v>70</v>
      </c>
    </row>
    <row r="27" spans="3:12" x14ac:dyDescent="0.3">
      <c r="D27" s="23" t="s">
        <v>71</v>
      </c>
      <c r="E27" s="33">
        <v>0.91</v>
      </c>
      <c r="F27" s="33">
        <v>0.22</v>
      </c>
      <c r="G27" s="24">
        <f>E20*E27*$E$29*F27</f>
        <v>11072241977.5968</v>
      </c>
      <c r="H27" s="24">
        <f>E21*E27*$E$29*F27</f>
        <v>9964945768.3775997</v>
      </c>
      <c r="I27" s="24">
        <f>E22*E27*$E$29*F27</f>
        <v>9964945768.3775997</v>
      </c>
    </row>
    <row r="28" spans="3:12" x14ac:dyDescent="0.3">
      <c r="D28" s="23" t="s">
        <v>72</v>
      </c>
      <c r="E28" s="33">
        <v>0.09</v>
      </c>
      <c r="F28" s="33">
        <v>0.49</v>
      </c>
      <c r="G28" s="24">
        <f>E20*E28*$E$29*F28</f>
        <v>2438990365.6944003</v>
      </c>
      <c r="H28" s="24">
        <f>E21*E28*$E$29*F28</f>
        <v>2195075466.4608002</v>
      </c>
      <c r="I28" s="24">
        <f>E22*E28*$E$29*F28</f>
        <v>2195075466.4608002</v>
      </c>
    </row>
    <row r="29" spans="3:12" ht="15" thickBot="1" x14ac:dyDescent="0.35">
      <c r="D29" s="25" t="s">
        <v>73</v>
      </c>
      <c r="E29" s="26">
        <v>599496</v>
      </c>
      <c r="F29" s="27"/>
      <c r="G29" s="28"/>
      <c r="H29" s="28"/>
      <c r="I29" s="28"/>
    </row>
    <row r="45" spans="5:5" x14ac:dyDescent="0.3">
      <c r="E45" s="3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49BB4-5225-420C-9604-52A8388809F7}">
  <dimension ref="C2:N35"/>
  <sheetViews>
    <sheetView showGridLines="0" topLeftCell="B1" zoomScale="85" zoomScaleNormal="85" workbookViewId="0">
      <selection activeCell="J32" sqref="J32"/>
    </sheetView>
  </sheetViews>
  <sheetFormatPr defaultRowHeight="14.4" x14ac:dyDescent="0.3"/>
  <cols>
    <col min="2" max="2" width="11.109375" bestFit="1" customWidth="1"/>
    <col min="3" max="3" width="13.109375" customWidth="1"/>
    <col min="4" max="4" width="17.6640625" customWidth="1"/>
    <col min="5" max="5" width="15.21875" customWidth="1"/>
    <col min="6" max="6" width="17.88671875" customWidth="1"/>
    <col min="7" max="7" width="20.33203125" customWidth="1"/>
    <col min="8" max="8" width="15" customWidth="1"/>
    <col min="9" max="9" width="32.77734375" customWidth="1"/>
    <col min="10" max="10" width="20.109375" customWidth="1"/>
    <col min="11" max="11" width="22.88671875" customWidth="1"/>
    <col min="12" max="12" width="17.6640625" bestFit="1" customWidth="1"/>
    <col min="13" max="13" width="13.6640625" bestFit="1" customWidth="1"/>
    <col min="14" max="14" width="9.77734375" customWidth="1"/>
    <col min="15" max="15" width="11.5546875" bestFit="1" customWidth="1"/>
    <col min="16" max="16" width="14.109375" bestFit="1" customWidth="1"/>
  </cols>
  <sheetData>
    <row r="2" spans="4:14" x14ac:dyDescent="0.3">
      <c r="D2" t="s">
        <v>76</v>
      </c>
      <c r="J2" t="s">
        <v>77</v>
      </c>
    </row>
    <row r="4" spans="4:14" x14ac:dyDescent="0.3">
      <c r="D4" s="5" t="s">
        <v>50</v>
      </c>
      <c r="E4" s="5" t="s">
        <v>51</v>
      </c>
      <c r="F4" s="5" t="s">
        <v>52</v>
      </c>
      <c r="G4" s="5" t="s">
        <v>79</v>
      </c>
      <c r="H4" s="5" t="s">
        <v>17</v>
      </c>
      <c r="J4" s="5" t="s">
        <v>50</v>
      </c>
      <c r="K4" s="5" t="s">
        <v>51</v>
      </c>
      <c r="L4" s="5" t="s">
        <v>52</v>
      </c>
      <c r="M4" s="5" t="s">
        <v>79</v>
      </c>
      <c r="N4" s="5" t="s">
        <v>17</v>
      </c>
    </row>
    <row r="5" spans="4:14" x14ac:dyDescent="0.3">
      <c r="D5" s="7">
        <v>0</v>
      </c>
      <c r="E5" s="7">
        <v>5766</v>
      </c>
      <c r="F5" s="7">
        <v>1822</v>
      </c>
      <c r="G5" s="7">
        <v>773</v>
      </c>
      <c r="H5" s="7" t="s">
        <v>15</v>
      </c>
      <c r="J5" s="7">
        <v>0</v>
      </c>
      <c r="K5" s="7">
        <v>5766</v>
      </c>
      <c r="L5" s="7">
        <v>1932</v>
      </c>
      <c r="M5" s="7">
        <v>767</v>
      </c>
      <c r="N5" s="7" t="s">
        <v>15</v>
      </c>
    </row>
    <row r="6" spans="4:14" x14ac:dyDescent="0.3">
      <c r="D6" s="6">
        <v>1</v>
      </c>
      <c r="E6" s="6">
        <v>5766</v>
      </c>
      <c r="F6" s="6">
        <v>1117</v>
      </c>
      <c r="G6" s="6">
        <v>840</v>
      </c>
      <c r="H6" s="6" t="s">
        <v>15</v>
      </c>
      <c r="J6" s="6">
        <v>1</v>
      </c>
      <c r="K6" s="6">
        <v>5766</v>
      </c>
      <c r="L6" s="6">
        <v>1143</v>
      </c>
      <c r="M6" s="6">
        <v>839</v>
      </c>
      <c r="N6" s="6" t="s">
        <v>15</v>
      </c>
    </row>
    <row r="7" spans="4:14" x14ac:dyDescent="0.3">
      <c r="D7" s="6">
        <v>2</v>
      </c>
      <c r="E7" s="6">
        <v>5766</v>
      </c>
      <c r="F7" s="6">
        <v>836</v>
      </c>
      <c r="G7" s="6">
        <v>875</v>
      </c>
      <c r="H7" s="6" t="s">
        <v>15</v>
      </c>
      <c r="J7" s="6">
        <v>2</v>
      </c>
      <c r="K7" s="6">
        <v>5766</v>
      </c>
      <c r="L7" s="6">
        <v>860</v>
      </c>
      <c r="M7" s="6">
        <v>877</v>
      </c>
      <c r="N7" s="6" t="s">
        <v>15</v>
      </c>
    </row>
    <row r="8" spans="4:14" x14ac:dyDescent="0.3">
      <c r="D8" s="6">
        <v>3</v>
      </c>
      <c r="E8" s="6">
        <v>5766</v>
      </c>
      <c r="F8" s="6">
        <v>676</v>
      </c>
      <c r="G8" s="6">
        <v>899</v>
      </c>
      <c r="H8" s="6" t="s">
        <v>15</v>
      </c>
      <c r="J8" s="6">
        <v>3</v>
      </c>
      <c r="K8" s="6">
        <v>5766</v>
      </c>
      <c r="L8" s="6">
        <v>669</v>
      </c>
      <c r="M8" s="6">
        <v>901</v>
      </c>
      <c r="N8" s="6" t="s">
        <v>15</v>
      </c>
    </row>
    <row r="9" spans="4:14" x14ac:dyDescent="0.3">
      <c r="D9" s="6">
        <v>4</v>
      </c>
      <c r="E9" s="6">
        <v>5766</v>
      </c>
      <c r="F9" s="6">
        <v>565</v>
      </c>
      <c r="G9" s="6">
        <v>916</v>
      </c>
      <c r="H9" s="6" t="s">
        <v>15</v>
      </c>
      <c r="J9" s="6">
        <v>4</v>
      </c>
      <c r="K9" s="6">
        <v>5766</v>
      </c>
      <c r="L9" s="6">
        <v>541</v>
      </c>
      <c r="M9" s="6">
        <v>918</v>
      </c>
      <c r="N9" s="6" t="s">
        <v>15</v>
      </c>
    </row>
    <row r="10" spans="4:14" x14ac:dyDescent="0.3">
      <c r="D10" s="6">
        <v>5</v>
      </c>
      <c r="E10" s="6">
        <v>5765</v>
      </c>
      <c r="F10" s="6">
        <v>446</v>
      </c>
      <c r="G10" s="6">
        <v>929</v>
      </c>
      <c r="H10" s="6" t="s">
        <v>15</v>
      </c>
      <c r="J10" s="6">
        <v>5</v>
      </c>
      <c r="K10" s="6">
        <v>5765</v>
      </c>
      <c r="L10" s="6">
        <v>425</v>
      </c>
      <c r="M10" s="6">
        <v>931</v>
      </c>
      <c r="N10" s="6" t="s">
        <v>15</v>
      </c>
    </row>
    <row r="11" spans="4:14" x14ac:dyDescent="0.3">
      <c r="D11" s="6">
        <v>6</v>
      </c>
      <c r="E11" s="6">
        <v>5766</v>
      </c>
      <c r="F11" s="6">
        <v>367</v>
      </c>
      <c r="G11" s="6">
        <v>939</v>
      </c>
      <c r="H11" s="6" t="s">
        <v>15</v>
      </c>
      <c r="J11" s="6">
        <v>6</v>
      </c>
      <c r="K11" s="6">
        <v>5766</v>
      </c>
      <c r="L11" s="6">
        <v>375</v>
      </c>
      <c r="M11" s="6">
        <v>941</v>
      </c>
      <c r="N11" s="6" t="s">
        <v>15</v>
      </c>
    </row>
    <row r="12" spans="4:14" x14ac:dyDescent="0.3">
      <c r="D12" s="6">
        <v>7</v>
      </c>
      <c r="E12" s="6">
        <v>5766</v>
      </c>
      <c r="F12" s="6">
        <v>323</v>
      </c>
      <c r="G12" s="6">
        <v>948</v>
      </c>
      <c r="H12" s="6" t="s">
        <v>15</v>
      </c>
      <c r="J12" s="6">
        <v>7</v>
      </c>
      <c r="K12" s="6">
        <v>5766</v>
      </c>
      <c r="L12" s="6">
        <v>305</v>
      </c>
      <c r="M12" s="6">
        <v>949</v>
      </c>
      <c r="N12" s="6" t="s">
        <v>15</v>
      </c>
    </row>
    <row r="13" spans="4:14" x14ac:dyDescent="0.3">
      <c r="D13" s="6">
        <v>8</v>
      </c>
      <c r="E13" s="6">
        <v>5766</v>
      </c>
      <c r="F13" s="6">
        <v>297</v>
      </c>
      <c r="G13" s="6">
        <v>955</v>
      </c>
      <c r="H13" s="6" t="s">
        <v>15</v>
      </c>
      <c r="J13" s="6">
        <v>8</v>
      </c>
      <c r="K13" s="6">
        <v>5766</v>
      </c>
      <c r="L13" s="6">
        <v>270</v>
      </c>
      <c r="M13" s="6">
        <v>956</v>
      </c>
      <c r="N13" s="6" t="s">
        <v>15</v>
      </c>
    </row>
    <row r="14" spans="4:14" x14ac:dyDescent="0.3">
      <c r="D14" s="6">
        <v>9</v>
      </c>
      <c r="E14" s="6">
        <v>5766</v>
      </c>
      <c r="F14" s="6">
        <v>228</v>
      </c>
      <c r="G14" s="6">
        <v>962</v>
      </c>
      <c r="H14" s="6" t="s">
        <v>15</v>
      </c>
      <c r="J14" s="6">
        <v>9</v>
      </c>
      <c r="K14" s="6">
        <v>5766</v>
      </c>
      <c r="L14" s="6">
        <v>222</v>
      </c>
      <c r="M14" s="6">
        <v>962</v>
      </c>
      <c r="N14" s="6" t="s">
        <v>15</v>
      </c>
    </row>
    <row r="15" spans="4:14" x14ac:dyDescent="0.3">
      <c r="D15" s="6">
        <v>10</v>
      </c>
      <c r="E15" s="6">
        <v>5765</v>
      </c>
      <c r="F15" s="6">
        <v>201</v>
      </c>
      <c r="G15" s="6">
        <v>967</v>
      </c>
      <c r="H15" s="6" t="s">
        <v>15</v>
      </c>
      <c r="J15" s="6">
        <v>10</v>
      </c>
      <c r="K15" s="6">
        <v>5765</v>
      </c>
      <c r="L15" s="6">
        <v>171</v>
      </c>
      <c r="M15" s="6">
        <v>968</v>
      </c>
      <c r="N15" s="6" t="s">
        <v>15</v>
      </c>
    </row>
    <row r="16" spans="4:14" x14ac:dyDescent="0.3">
      <c r="D16" s="6">
        <v>11</v>
      </c>
      <c r="E16" s="6">
        <v>5766</v>
      </c>
      <c r="F16" s="6">
        <v>168</v>
      </c>
      <c r="G16" s="6">
        <v>972</v>
      </c>
      <c r="H16" s="6" t="s">
        <v>15</v>
      </c>
      <c r="J16" s="6">
        <v>11</v>
      </c>
      <c r="K16" s="6">
        <v>5766</v>
      </c>
      <c r="L16" s="6">
        <v>159</v>
      </c>
      <c r="M16" s="6">
        <v>973</v>
      </c>
      <c r="N16" s="6" t="s">
        <v>15</v>
      </c>
    </row>
    <row r="17" spans="3:14" x14ac:dyDescent="0.3">
      <c r="D17" s="6">
        <v>12</v>
      </c>
      <c r="E17" s="6">
        <v>5766</v>
      </c>
      <c r="F17" s="6">
        <v>135</v>
      </c>
      <c r="G17" s="6">
        <v>977</v>
      </c>
      <c r="H17" s="6" t="s">
        <v>15</v>
      </c>
      <c r="J17" s="6">
        <v>12</v>
      </c>
      <c r="K17" s="6">
        <v>5766</v>
      </c>
      <c r="L17" s="6">
        <v>128</v>
      </c>
      <c r="M17" s="6">
        <v>977</v>
      </c>
      <c r="N17" s="6" t="s">
        <v>15</v>
      </c>
    </row>
    <row r="18" spans="3:14" x14ac:dyDescent="0.3">
      <c r="D18" s="6">
        <v>13</v>
      </c>
      <c r="E18" s="6">
        <v>5766</v>
      </c>
      <c r="F18" s="6">
        <v>106</v>
      </c>
      <c r="G18" s="6">
        <v>982</v>
      </c>
      <c r="H18" s="6" t="s">
        <v>15</v>
      </c>
      <c r="J18" s="6">
        <v>13</v>
      </c>
      <c r="K18" s="6">
        <v>5766</v>
      </c>
      <c r="L18" s="6">
        <v>106</v>
      </c>
      <c r="M18" s="6">
        <v>981</v>
      </c>
      <c r="N18" s="6" t="s">
        <v>15</v>
      </c>
    </row>
    <row r="19" spans="3:14" x14ac:dyDescent="0.3">
      <c r="D19" s="6">
        <v>14</v>
      </c>
      <c r="E19" s="6">
        <v>5766</v>
      </c>
      <c r="F19" s="6">
        <v>92</v>
      </c>
      <c r="G19" s="6">
        <v>986</v>
      </c>
      <c r="H19" s="6" t="s">
        <v>15</v>
      </c>
      <c r="J19" s="6">
        <v>14</v>
      </c>
      <c r="K19" s="6">
        <v>5766</v>
      </c>
      <c r="L19" s="6">
        <v>81</v>
      </c>
      <c r="M19" s="6">
        <v>986</v>
      </c>
      <c r="N19" s="6" t="s">
        <v>15</v>
      </c>
    </row>
    <row r="20" spans="3:14" x14ac:dyDescent="0.3">
      <c r="D20" s="6">
        <v>15</v>
      </c>
      <c r="E20" s="6">
        <v>5766</v>
      </c>
      <c r="F20" s="6">
        <v>69</v>
      </c>
      <c r="G20" s="6">
        <v>999</v>
      </c>
      <c r="H20" s="6" t="s">
        <v>15</v>
      </c>
      <c r="J20" s="6">
        <v>15</v>
      </c>
      <c r="K20" s="6">
        <v>5766</v>
      </c>
      <c r="L20" s="6">
        <v>61</v>
      </c>
      <c r="M20" s="6">
        <v>997</v>
      </c>
      <c r="N20" s="6" t="s">
        <v>15</v>
      </c>
    </row>
    <row r="21" spans="3:14" ht="15" thickBot="1" x14ac:dyDescent="0.35"/>
    <row r="22" spans="3:14" ht="15" thickBot="1" x14ac:dyDescent="0.35">
      <c r="D22" s="13" t="s">
        <v>59</v>
      </c>
      <c r="E22" s="14" t="s">
        <v>60</v>
      </c>
      <c r="F22" s="15" t="s">
        <v>61</v>
      </c>
    </row>
    <row r="23" spans="3:14" ht="15.6" thickTop="1" thickBot="1" x14ac:dyDescent="0.35">
      <c r="D23" s="10">
        <f>SUM(E5:E20)</f>
        <v>92254</v>
      </c>
      <c r="E23" s="11">
        <f>SUM(F5:F20)</f>
        <v>7448</v>
      </c>
      <c r="F23" s="16">
        <f>E23/D23</f>
        <v>8.0733626726212412E-2</v>
      </c>
    </row>
    <row r="24" spans="3:14" x14ac:dyDescent="0.3">
      <c r="D24" s="12"/>
    </row>
    <row r="25" spans="3:14" ht="15" thickBot="1" x14ac:dyDescent="0.35">
      <c r="D25" s="19" t="s">
        <v>54</v>
      </c>
      <c r="E25" s="19" t="s">
        <v>55</v>
      </c>
      <c r="F25" s="19" t="s">
        <v>58</v>
      </c>
      <c r="G25" s="19" t="s">
        <v>56</v>
      </c>
      <c r="H25" s="19" t="s">
        <v>57</v>
      </c>
      <c r="I25" s="19" t="s">
        <v>63</v>
      </c>
      <c r="J25" s="19" t="s">
        <v>64</v>
      </c>
      <c r="K25" s="19" t="s">
        <v>65</v>
      </c>
      <c r="L25" s="19" t="s">
        <v>66</v>
      </c>
    </row>
    <row r="26" spans="3:14" ht="15" thickTop="1" x14ac:dyDescent="0.3">
      <c r="C26" s="18" t="s">
        <v>62</v>
      </c>
      <c r="D26" s="20">
        <f>SUM(E5:E21)</f>
        <v>92254</v>
      </c>
      <c r="E26" s="20">
        <f>SUM(E5:E20)</f>
        <v>92254</v>
      </c>
      <c r="F26" s="17">
        <f>E26/D26</f>
        <v>1</v>
      </c>
      <c r="G26" s="20">
        <f>SUM(F5:F20)</f>
        <v>7448</v>
      </c>
      <c r="H26" s="9">
        <f>G26/E26</f>
        <v>8.0733626726212412E-2</v>
      </c>
      <c r="I26" s="29">
        <f>SUM(G33:G34)</f>
        <v>13511232343.291201</v>
      </c>
      <c r="J26" s="29">
        <f>G26*E35</f>
        <v>4465046208</v>
      </c>
      <c r="K26" s="29">
        <f>I26-J26</f>
        <v>9046186135.2912006</v>
      </c>
    </row>
    <row r="27" spans="3:14" x14ac:dyDescent="0.3">
      <c r="C27" s="18" t="s">
        <v>16</v>
      </c>
      <c r="D27" s="20">
        <f>SUM(E5:E21)</f>
        <v>92254</v>
      </c>
      <c r="E27" s="20">
        <f>SUM(E6:E20)</f>
        <v>86488</v>
      </c>
      <c r="F27" s="17">
        <f>E27/D27</f>
        <v>0.93749864504520131</v>
      </c>
      <c r="G27" s="20">
        <f>SUM(F6:F20)</f>
        <v>5626</v>
      </c>
      <c r="H27" s="9">
        <f>G27/E27</f>
        <v>6.5049486633983911E-2</v>
      </c>
      <c r="I27" s="29">
        <f>SUM(H33:H34)</f>
        <v>12666762014.7264</v>
      </c>
      <c r="J27" s="29">
        <f>G27*E35</f>
        <v>3372764496</v>
      </c>
      <c r="K27" s="29">
        <f>I27-J27</f>
        <v>9293997518.7264004</v>
      </c>
      <c r="L27" s="12">
        <f>(K27-K26)/K26</f>
        <v>2.7394017736207303E-2</v>
      </c>
    </row>
    <row r="28" spans="3:14" x14ac:dyDescent="0.3">
      <c r="C28" s="18" t="s">
        <v>53</v>
      </c>
      <c r="D28" s="20">
        <f>SUM(K5:K20)</f>
        <v>92254</v>
      </c>
      <c r="E28" s="20">
        <f>SUM(K6:K20)</f>
        <v>86488</v>
      </c>
      <c r="F28" s="17">
        <f>E28/D28</f>
        <v>0.93749864504520131</v>
      </c>
      <c r="G28" s="20">
        <f>SUM(L6:L20)</f>
        <v>5516</v>
      </c>
      <c r="H28" s="9">
        <f>G28/E28</f>
        <v>6.3777633891406907E-2</v>
      </c>
      <c r="I28" s="29">
        <f>SUM(I33:I34)</f>
        <v>12666762014.7264</v>
      </c>
      <c r="J28" s="29">
        <f>G28*E35</f>
        <v>3306819936</v>
      </c>
      <c r="K28" s="29">
        <f>I28-J28</f>
        <v>9359942078.7264004</v>
      </c>
      <c r="L28" s="12">
        <f>(K28-K26)/K26</f>
        <v>3.4683781512207384E-2</v>
      </c>
    </row>
    <row r="29" spans="3:14" ht="14.4" customHeight="1" x14ac:dyDescent="0.3"/>
    <row r="30" spans="3:14" ht="15" thickBot="1" x14ac:dyDescent="0.35">
      <c r="D30" s="18" t="s">
        <v>74</v>
      </c>
    </row>
    <row r="31" spans="3:14" x14ac:dyDescent="0.3">
      <c r="D31" s="21"/>
      <c r="E31" s="31"/>
      <c r="F31" s="30"/>
      <c r="G31" s="22" t="s">
        <v>67</v>
      </c>
      <c r="H31" s="22" t="str">
        <f>"+Bureau"</f>
        <v>+Bureau</v>
      </c>
      <c r="I31" s="22" t="str">
        <f>"+Bureau + Installments + Credit Card"</f>
        <v>+Bureau + Installments + Credit Card</v>
      </c>
    </row>
    <row r="32" spans="3:14" x14ac:dyDescent="0.3">
      <c r="D32" s="23"/>
      <c r="E32" s="32" t="s">
        <v>68</v>
      </c>
      <c r="F32" s="32" t="s">
        <v>69</v>
      </c>
      <c r="G32" s="35" t="s">
        <v>70</v>
      </c>
      <c r="H32" s="35" t="s">
        <v>70</v>
      </c>
      <c r="I32" s="35" t="s">
        <v>70</v>
      </c>
    </row>
    <row r="33" spans="4:9" x14ac:dyDescent="0.3">
      <c r="D33" s="23" t="s">
        <v>71</v>
      </c>
      <c r="E33" s="33">
        <v>0.91</v>
      </c>
      <c r="F33" s="33">
        <v>0.22</v>
      </c>
      <c r="G33" s="24">
        <f>E26*E33*$E$35*F33</f>
        <v>11072241977.5968</v>
      </c>
      <c r="H33" s="24">
        <f>E27*E33*$E$35*F33</f>
        <v>10380211851.6096</v>
      </c>
      <c r="I33" s="24">
        <f>E28*E33*$E$35*F33</f>
        <v>10380211851.6096</v>
      </c>
    </row>
    <row r="34" spans="4:9" x14ac:dyDescent="0.3">
      <c r="D34" s="23" t="s">
        <v>72</v>
      </c>
      <c r="E34" s="33">
        <v>0.09</v>
      </c>
      <c r="F34" s="33">
        <v>0.49</v>
      </c>
      <c r="G34" s="24">
        <f>E26*E34*$E$35*F34</f>
        <v>2438990365.6944003</v>
      </c>
      <c r="H34" s="24">
        <f>E27*E34*$E$35*F34</f>
        <v>2286550163.1167998</v>
      </c>
      <c r="I34" s="24">
        <f>E28*E34*$E$35*F34</f>
        <v>2286550163.1167998</v>
      </c>
    </row>
    <row r="35" spans="4:9" ht="15" thickBot="1" x14ac:dyDescent="0.35">
      <c r="D35" s="25" t="s">
        <v>80</v>
      </c>
      <c r="E35" s="26">
        <v>599496</v>
      </c>
      <c r="F35" s="27"/>
      <c r="G35" s="28"/>
      <c r="H35" s="28"/>
      <c r="I35" s="2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Métricas por Fonte de Info</vt:lpstr>
      <vt:lpstr>Cortando 10% do Público</vt:lpstr>
      <vt:lpstr>Cortando 6,3% do Público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Murilo Garcia</dc:creator>
  <cp:lastModifiedBy>Murilo Garcia</cp:lastModifiedBy>
  <dcterms:created xsi:type="dcterms:W3CDTF">2026-08-23T23:50:36Z</dcterms:created>
  <dcterms:modified xsi:type="dcterms:W3CDTF">2026-09-09T01:36:40Z</dcterms:modified>
</cp:coreProperties>
</file>